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268" windowHeight="113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<sst xmlns="http://schemas.openxmlformats.org/spreadsheetml/2006/main" count="24" uniqueCount="22">
  <si>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工期</t>
  </si>
  <si>
    <t>人日单价</t>
  </si>
  <si>
    <t>价格</t>
  </si>
  <si>
    <t>说明</t>
  </si>
  <si>
    <t>角色原画</t>
  </si>
  <si>
    <t>2个中级1个初级</t>
  </si>
  <si>
    <t>拆图</t>
  </si>
  <si>
    <t>初级外包1人</t>
  </si>
  <si>
    <t>动作</t>
  </si>
  <si>
    <t>2个中级，外包初级</t>
  </si>
  <si>
    <t>战斗场景特效</t>
  </si>
  <si>
    <t>场景原画</t>
  </si>
  <si>
    <t>2个中级</t>
  </si>
  <si>
    <t>地编</t>
  </si>
  <si>
    <t>1个中级</t>
  </si>
  <si>
    <t>UI</t>
  </si>
  <si>
    <t>3.5个中级3个初级，</t>
  </si>
  <si>
    <t>图标设计</t>
  </si>
  <si>
    <t>1个中级，外包初级</t>
  </si>
  <si>
    <t>UI动效</t>
  </si>
  <si>
    <t>总计</t>
  </si>
  <si>
    <t>（目前为止新加需求已计算入内）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</si>
</sst>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E11" sqref="E11"/>
    </sheetView>
  </sheetViews>
  <sheetFormatPr defaultColWidth="9" defaultRowHeight="14.4" outlineLevelCol="4"/>
  <cols>
    <col min="1" max="1" width="12.8888888888889" customWidth="1"/>
    <col min="2" max="4" width="19.7777777777778" customWidth="1"/>
    <col min="5" max="5" width="32.3333333333333" customWidth="1"/>
  </cols>
  <sheetData>
    <row r="1" ht="25" customHeight="1" spans="1:5">
      <c r="A1" s="1"/>
      <c r="B1" s="1" t="s">
        <v>0</v>
      </c>
      <c r="C1" s="1" t="s">
        <v>1</v>
      </c>
      <c r="D1" s="1" t="s">
        <v>2</v>
      </c>
      <c r="E1" t="s">
        <v>3</v>
      </c>
    </row>
    <row r="2" ht="25" customHeight="1" spans="1:5">
      <c r="A2" s="1" t="s">
        <v>4</v>
      </c>
      <c r="B2" s="1">
        <v>142.1</v>
      </c>
      <c r="C2" s="2">
        <v>445</v>
      </c>
      <c r="D2" s="2">
        <f t="shared" ref="D2:D10" si="0">B2*C2</f>
        <v>63234.5</v>
      </c>
      <c r="E2" t="s">
        <v>5</v>
      </c>
    </row>
    <row r="3" ht="25" customHeight="1" spans="1:5">
      <c r="A3" s="1" t="s">
        <v>6</v>
      </c>
      <c r="B3" s="1">
        <v>49.7</v>
      </c>
      <c r="C3" s="2">
        <v>300</v>
      </c>
      <c r="D3" s="2">
        <f t="shared" si="0"/>
        <v>14910</v>
      </c>
      <c r="E3" t="s">
        <v>7</v>
      </c>
    </row>
    <row r="4" ht="25" customHeight="1" spans="1:5">
      <c r="A4" s="1" t="s">
        <v>8</v>
      </c>
      <c r="B4" s="1">
        <v>164.7</v>
      </c>
      <c r="C4" s="2">
        <v>734</v>
      </c>
      <c r="D4" s="2">
        <f t="shared" si="0"/>
        <v>120889.8</v>
      </c>
      <c r="E4" t="s">
        <v>9</v>
      </c>
    </row>
    <row r="5" ht="25" customHeight="1" spans="1:5">
      <c r="A5" s="1" t="s">
        <v>10</v>
      </c>
      <c r="B5" s="1">
        <v>231.5</v>
      </c>
      <c r="C5" s="2">
        <v>796</v>
      </c>
      <c r="D5" s="2">
        <f t="shared" si="0"/>
        <v>184274</v>
      </c>
      <c r="E5" t="s">
        <v>9</v>
      </c>
    </row>
    <row r="6" ht="25" customHeight="1" spans="1:5">
      <c r="A6" s="1" t="s">
        <v>11</v>
      </c>
      <c r="B6" s="1">
        <v>110.5</v>
      </c>
      <c r="C6" s="2">
        <v>738</v>
      </c>
      <c r="D6" s="2">
        <f t="shared" si="0"/>
        <v>81549</v>
      </c>
      <c r="E6" t="s">
        <v>12</v>
      </c>
    </row>
    <row r="7" ht="25" customHeight="1" spans="1:5">
      <c r="A7" s="1" t="s">
        <v>13</v>
      </c>
      <c r="B7" s="1">
        <v>15.5</v>
      </c>
      <c r="C7" s="2">
        <v>714</v>
      </c>
      <c r="D7" s="2">
        <f t="shared" si="0"/>
        <v>11067</v>
      </c>
      <c r="E7" t="s">
        <v>14</v>
      </c>
    </row>
    <row r="8" ht="25" customHeight="1" spans="1:5">
      <c r="A8" s="1" t="s">
        <v>15</v>
      </c>
      <c r="B8" s="1">
        <v>254</v>
      </c>
      <c r="C8" s="3">
        <v>488</v>
      </c>
      <c r="D8" s="2">
        <f t="shared" si="0"/>
        <v>123952</v>
      </c>
      <c r="E8" t="s">
        <v>16</v>
      </c>
    </row>
    <row r="9" ht="25" customHeight="1" spans="1:5">
      <c r="A9" s="1" t="s">
        <v>17</v>
      </c>
      <c r="B9" s="1">
        <v>115</v>
      </c>
      <c r="C9" s="2">
        <v>357</v>
      </c>
      <c r="D9" s="2">
        <f t="shared" si="0"/>
        <v>41055</v>
      </c>
      <c r="E9" t="s">
        <v>18</v>
      </c>
    </row>
    <row r="10" ht="25" customHeight="1" spans="1:5">
      <c r="A10" s="1" t="s">
        <v>19</v>
      </c>
      <c r="B10" s="1">
        <v>63</v>
      </c>
      <c r="C10" s="2">
        <v>482</v>
      </c>
      <c r="D10" s="2">
        <f t="shared" si="0"/>
        <v>30366</v>
      </c>
      <c r="E10" t="s">
        <v>14</v>
      </c>
    </row>
    <row r="11" ht="25" customHeight="1" spans="1:5">
      <c r="A11" s="1" t="s">
        <v>20</v>
      </c>
      <c r="B11" s="1"/>
      <c r="C11" s="1"/>
      <c r="D11" s="4">
        <f>SUM(D2:D10)</f>
        <v>671297.3</v>
      </c>
      <c r="E1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2026-06-29T03:22:46Z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375D9EBFDE9443BCB30CF497EC7F5B73_13</vt:lpwstr>
  </property>
  <property fmtid="{D5CDD505-2E9C-101B-9397-08002B2CF9AE}" pid="4" name="CalculationRule">
    <vt:i4>0</vt:i4>
  </property>
</Properties>
</file>
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71" windowHeight="11088"/>
  </bookViews>
  <sheets>
    <sheet name="项目成本汇总" sheetId="2" r:id="rId1"/>
    <sheet name="内部人员成本" sheetId="3" r:id="rId2"/>
    <sheet name="外包成本明细" sheetId="4" r:id="rId3"/>
    <sheet name="参数设置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<sst xmlns="http://schemas.openxmlformats.org/spreadsheetml/2006/main" count="180" uniqueCount="109">
  <si>
    <t>项目成本汇总表</t>
  </si>
  <si>
    <t>单位：人民币元</t>
  </si>
  <si>
    <t>序号</t>
  </si>
  <si>
    <t>工种</t>
  </si>
  <si>
    <t>内部成本</t>
  </si>
  <si>
    <t>外包成本</t>
  </si>
  <si>
    <t>总成本</t>
  </si>
  <si>
    <t>内部占比</t>
  </si>
  <si>
    <t>外包占比</t>
  </si>
  <si>
    <t>备注</t>
  </si>
  <si>
    <t>角色原画</t>
  </si>
  <si>
    <t>1个中级 2个初级</t>
  </si>
  <si>
    <t>拆图</t>
  </si>
  <si>
    <t>计件</t>
  </si>
  <si>
    <t>动作</t>
  </si>
  <si>
    <t>1个中级，外包初级7.8人</t>
  </si>
  <si>
    <t>战斗特效</t>
  </si>
  <si>
    <t>2个中级，外包初级</t>
  </si>
  <si>
    <t>场景原画</t>
  </si>
  <si>
    <t>2个中级</t>
  </si>
  <si>
    <t>地编</t>
  </si>
  <si>
    <t>1个中级</t>
  </si>
  <si>
    <t>UI</t>
  </si>
  <si>
    <t>中级1初级，外包中级初级</t>
  </si>
  <si>
    <t>图标设计</t>
  </si>
  <si>
    <t>1个中级，外包初级</t>
  </si>
  <si>
    <t>UI动效</t>
  </si>
  <si>
    <t>1个初级</t>
  </si>
  <si>
    <t>合计</t>
  </si>
  <si>
    <t>成本结构分析</t>
  </si>
  <si>
    <t>内部人力成本占比</t>
  </si>
  <si>
    <t>外包成本占比</t>
  </si>
  <si>
    <t>人均日成本（内部）</t>
  </si>
  <si>
    <t>人均日成本（外包）</t>
  </si>
  <si>
    <t>内部人员成本明细表</t>
  </si>
  <si>
    <t>蓝色字体为可修改的输入项，黑色为公式计算结果</t>
  </si>
  <si>
    <t>人员级别</t>
  </si>
  <si>
    <t>月薪（元）</t>
  </si>
  <si>
    <t>日薪（元）</t>
  </si>
  <si>
    <t>投入人日</t>
  </si>
  <si>
    <t>人力成本（元）</t>
  </si>
  <si>
    <t>中级</t>
  </si>
  <si>
    <t>9人</t>
  </si>
  <si>
    <t>初级</t>
  </si>
  <si>
    <t>1人</t>
  </si>
  <si>
    <t>6人</t>
  </si>
  <si>
    <t>2人</t>
  </si>
  <si>
    <t>1人（暂未投入）</t>
  </si>
  <si>
    <t>8人</t>
  </si>
  <si>
    <t>4人</t>
  </si>
  <si>
    <t>计件辅助</t>
  </si>
  <si>
    <t>福利与管理费用分摊</t>
  </si>
  <si>
    <t>人力成本小计</t>
  </si>
  <si>
    <t>福利费用比例</t>
  </si>
  <si>
    <t>福利费用</t>
  </si>
  <si>
    <t>管理费用比例</t>
  </si>
  <si>
    <t>管理费用</t>
  </si>
  <si>
    <t>内部人员总成本</t>
  </si>
  <si>
    <t>外包成本明细表</t>
  </si>
  <si>
    <t>人日单价（元）</t>
  </si>
  <si>
    <t>外包成本（元）</t>
  </si>
  <si>
    <t>供应商/备注</t>
  </si>
  <si>
    <t>计件外包</t>
  </si>
  <si>
    <t>按件计费</t>
  </si>
  <si>
    <t>外包初级</t>
  </si>
  <si>
    <t>外包中级</t>
  </si>
  <si>
    <t>暂无外包</t>
  </si>
  <si>
    <t>外包管理费用</t>
  </si>
  <si>
    <t>外包成本小计</t>
  </si>
  <si>
    <t>外包管理费率</t>
  </si>
  <si>
    <t>外包总成本</t>
  </si>
  <si>
    <t>参数设置</t>
  </si>
  <si>
    <t>蓝色字体为可修改的参数，修改后所有相关计算自动更新</t>
  </si>
  <si>
    <t>基础参数</t>
  </si>
  <si>
    <t>项目名称</t>
  </si>
  <si>
    <t>游戏美术项目</t>
  </si>
  <si>
    <t>可修改为实际项目名称</t>
  </si>
  <si>
    <t>计算日期</t>
  </si>
  <si>
    <t>自动获取当前日期</t>
  </si>
  <si>
    <t>月工作日</t>
  </si>
  <si>
    <t>法定月平均工作日，用于日薪计算</t>
  </si>
  <si>
    <t>社保、公积金、福利等占工资比例</t>
  </si>
  <si>
    <t>公司管理费用分摊比例</t>
  </si>
  <si>
    <t>外包项目管理费用比例</t>
  </si>
  <si>
    <t>参考薪资标准（可根据实际情况调整）</t>
  </si>
  <si>
    <t>参考月薪范围</t>
  </si>
  <si>
    <t>参考日薪范围</t>
  </si>
  <si>
    <t>说明</t>
  </si>
  <si>
    <t>高级</t>
  </si>
  <si>
    <t>25000-40000</t>
  </si>
  <si>
    <t>1149-1839</t>
  </si>
  <si>
    <t>资深/专家级</t>
  </si>
  <si>
    <t>15000-25000</t>
  </si>
  <si>
    <t>690-1149</t>
  </si>
  <si>
    <t>有3-5年经验</t>
  </si>
  <si>
    <t>8000-15000</t>
  </si>
  <si>
    <t>368-690</t>
  </si>
  <si>
    <t>1-3年经验</t>
  </si>
  <si>
    <t>实习生</t>
  </si>
  <si>
    <t>4000-8000</t>
  </si>
  <si>
    <t>184-368</t>
  </si>
  <si>
    <t>在校/刚毕业</t>
  </si>
  <si>
    <t>使用说明</t>
  </si>
  <si>
    <t>1. 在「内部人员成本」表中录入内部人员的工种、级别、月薪和投入人日</t>
  </si>
  <si>
    <t>2. 在「外包成本明细」表中录入外包人员的工种、级别、单价和投入人日</t>
  </si>
  <si>
    <t>3. 「项目成本汇总」表会自动汇总各工种的内部和外包成本</t>
  </si>
  <si>
    <t>4. 可在「参数设置」表中调整工作日、福利比例等参数</t>
  </si>
  <si>
    <t>5. 所有蓝色字体的单元格都是可以修改的输入项</t>
  </si>
  <si>
    <t>6. 黑色字体为公式计算结果，请勿手动修改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</si>
</sst>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;\(#,##0.00\);&quot;-&quot;"/>
    <numFmt numFmtId="178" formatCode="0.0%"/>
    <numFmt numFmtId="179" formatCode="\¥#,##0.00;\(\¥#,##0.00\);&quot;-&quot;"/>
  </numFmts>
  <fonts count="29">
    <font>
      <sz val="10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1"/>
      <color rgb="FF000000"/>
      <name val="Calibri"/>
      <charset val="134"/>
    </font>
    <font>
      <i/>
      <sz val="10"/>
      <color rgb="FF808080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0000FF"/>
      <name val="微软雅黑"/>
      <charset val="134"/>
    </font>
    <font>
      <b/>
      <sz val="10"/>
      <color rgb="FF000000"/>
      <name val="微软雅黑"/>
      <charset val="134"/>
    </font>
    <font>
      <sz val="10"/>
      <color rgb="FF008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3B5D"/>
        <bgColor indexed="64"/>
      </patternFill>
    </fill>
    <fill>
      <patternFill patternType="solid">
        <fgColor rgb="FF3288B9"/>
        <bgColor indexed="64"/>
      </patternFill>
    </fill>
    <fill>
      <patternFill patternType="solid">
        <fgColor rgb="FFCFE3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/>
      <right/>
      <top style="thin">
        <color rgb="FFD0D8E8"/>
      </top>
      <bottom style="thin">
        <color rgb="FFD0D8E8"/>
      </bottom>
      <diagonal/>
    </border>
    <border>
      <left/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179" fontId="6" fillId="0" borderId="1" xfId="0" applyNumberFormat="1" applyFont="1" applyBorder="1" applyAlignment="1">
      <alignment horizontal="right" vertical="center"/>
    </xf>
    <xf numFmtId="179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right" vertical="center"/>
    </xf>
    <xf numFmtId="179" fontId="7" fillId="4" borderId="1" xfId="0" applyNumberFormat="1" applyFont="1" applyFill="1" applyBorder="1" applyAlignment="1">
      <alignment horizontal="right" vertical="center"/>
    </xf>
    <xf numFmtId="179" fontId="8" fillId="0" borderId="1" xfId="0" applyNumberFormat="1" applyFont="1" applyBorder="1" applyAlignment="1">
      <alignment horizontal="right" vertical="center"/>
    </xf>
    <xf numFmtId="178" fontId="8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9" fontId="7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78" fontId="5" fillId="0" borderId="1" xfId="0" applyNumberFormat="1" applyFont="1" applyBorder="1" applyAlignment="1">
      <alignment horizontal="right" vertical="center"/>
    </xf>
    <xf numFmtId="178" fontId="7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"/>
  <sheetViews>
    <sheetView tabSelected="1" workbookViewId="0">
      <selection activeCell="F31" sqref="F31"/>
    </sheetView>
  </sheetViews>
  <sheetFormatPr defaultColWidth="14" defaultRowHeight="13.2" outlineLevelCol="7"/>
  <cols>
    <col min="1" max="1" width="7" customWidth="1"/>
    <col min="2" max="2" width="20.2222222222222" customWidth="1"/>
    <col min="3" max="5" width="15" customWidth="1"/>
    <col min="6" max="7" width="13" customWidth="1"/>
    <col min="8" max="8" width="31" customWidth="1"/>
  </cols>
  <sheetData>
    <row r="1" ht="1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15" customHeight="1" spans="1:8">
      <c r="A2" s="24" t="s">
        <v>1</v>
      </c>
      <c r="B2" s="2"/>
      <c r="C2" s="2"/>
      <c r="D2" s="2"/>
      <c r="E2" s="2"/>
      <c r="F2" s="2"/>
      <c r="G2" s="2"/>
      <c r="H2" s="2"/>
    </row>
    <row r="4" ht="15" customHeight="1" spans="1: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ht="15" customHeight="1" spans="1:8">
      <c r="A5" s="11">
        <v>1</v>
      </c>
      <c r="B5" s="5" t="s">
        <v>10</v>
      </c>
      <c r="C5" s="20">
        <f>SUMIF(内部人员成本!B:B,B5,内部人员成本!G:G)</f>
        <v>149736.305068966</v>
      </c>
      <c r="D5" s="20">
        <f>SUMIF(外包成本明细!B:B,B5,外包成本明细!F:F)</f>
        <v>9600</v>
      </c>
      <c r="E5" s="16">
        <f t="shared" ref="E5:E13" si="0">C5+D5</f>
        <v>159336.305068966</v>
      </c>
      <c r="F5" s="25">
        <f t="shared" ref="F5:F14" si="1">IFERROR(C5/E5,0)</f>
        <v>0.939750077699839</v>
      </c>
      <c r="G5" s="25">
        <f t="shared" ref="G5:G14" si="2">IFERROR(D5/E5,0)</f>
        <v>0.0602499223001615</v>
      </c>
      <c r="H5" s="3" t="s">
        <v>11</v>
      </c>
    </row>
    <row r="6" ht="15" customHeight="1" spans="1:8">
      <c r="A6" s="11">
        <v>2</v>
      </c>
      <c r="B6" s="5" t="s">
        <v>12</v>
      </c>
      <c r="C6" s="20">
        <f>SUMIF(内部人员成本!B:B,B6,内部人员成本!G:G)</f>
        <v>32625.2873563218</v>
      </c>
      <c r="D6" s="20">
        <f>SUMIF(外包成本明细!B:B,B6,外包成本明细!F:F)</f>
        <v>0</v>
      </c>
      <c r="E6" s="16">
        <f t="shared" si="0"/>
        <v>32625.2873563218</v>
      </c>
      <c r="F6" s="25">
        <f t="shared" si="1"/>
        <v>1</v>
      </c>
      <c r="G6" s="25">
        <f t="shared" si="2"/>
        <v>0</v>
      </c>
      <c r="H6" s="3" t="s">
        <v>13</v>
      </c>
    </row>
    <row r="7" ht="15" customHeight="1" spans="1:8">
      <c r="A7" s="11">
        <v>3</v>
      </c>
      <c r="B7" s="5" t="s">
        <v>14</v>
      </c>
      <c r="C7" s="20">
        <f>SUMIF(内部人员成本!B:B,B7,内部人员成本!G:G)</f>
        <v>144873.541149425</v>
      </c>
      <c r="D7" s="20">
        <f>SUMIF(外包成本明细!B:B,B7,外包成本明细!F:F)</f>
        <v>24600</v>
      </c>
      <c r="E7" s="16">
        <f t="shared" si="0"/>
        <v>169473.541149425</v>
      </c>
      <c r="F7" s="25">
        <f t="shared" si="1"/>
        <v>0.854844597964056</v>
      </c>
      <c r="G7" s="25">
        <f t="shared" si="2"/>
        <v>0.145155402035944</v>
      </c>
      <c r="H7" s="3" t="s">
        <v>15</v>
      </c>
    </row>
    <row r="8" ht="15" customHeight="1" spans="1:8">
      <c r="A8" s="11">
        <v>4</v>
      </c>
      <c r="B8" s="5" t="s">
        <v>16</v>
      </c>
      <c r="C8" s="20">
        <f>SUMIF(内部人员成本!B:B,B8,内部人员成本!G:G)</f>
        <v>87226.3616091954</v>
      </c>
      <c r="D8" s="20">
        <f>SUMIF(外包成本明细!B:B,B8,外包成本明细!F:F)</f>
        <v>9900</v>
      </c>
      <c r="E8" s="16">
        <f t="shared" si="0"/>
        <v>97126.3616091954</v>
      </c>
      <c r="F8" s="25">
        <f t="shared" si="1"/>
        <v>0.898070927027676</v>
      </c>
      <c r="G8" s="25">
        <f t="shared" si="2"/>
        <v>0.101929072972324</v>
      </c>
      <c r="H8" s="3" t="s">
        <v>17</v>
      </c>
    </row>
    <row r="9" ht="15" customHeight="1" spans="1:8">
      <c r="A9" s="11">
        <v>5</v>
      </c>
      <c r="B9" s="5" t="s">
        <v>18</v>
      </c>
      <c r="C9" s="20">
        <f>SUMIF(内部人员成本!B:B,B9,内部人员成本!G:G)</f>
        <v>90949.1517241379</v>
      </c>
      <c r="D9" s="20">
        <f>SUMIF(外包成本明细!B:B,B9,外包成本明细!F:F)</f>
        <v>0</v>
      </c>
      <c r="E9" s="16">
        <f t="shared" si="0"/>
        <v>90949.1517241379</v>
      </c>
      <c r="F9" s="25">
        <f t="shared" si="1"/>
        <v>1</v>
      </c>
      <c r="G9" s="25">
        <f t="shared" si="2"/>
        <v>0</v>
      </c>
      <c r="H9" s="3" t="s">
        <v>19</v>
      </c>
    </row>
    <row r="10" ht="15" customHeight="1" spans="1:8">
      <c r="A10" s="11">
        <v>6</v>
      </c>
      <c r="B10" s="5" t="s">
        <v>20</v>
      </c>
      <c r="C10" s="20">
        <f>SUMIF(内部人员成本!B:B,B10,内部人员成本!G:G)</f>
        <v>11724.1379310345</v>
      </c>
      <c r="D10" s="20">
        <f>SUMIF(外包成本明细!B:B,B10,外包成本明细!F:F)</f>
        <v>0</v>
      </c>
      <c r="E10" s="16">
        <f t="shared" si="0"/>
        <v>11724.1379310345</v>
      </c>
      <c r="F10" s="25">
        <f t="shared" si="1"/>
        <v>1</v>
      </c>
      <c r="G10" s="25">
        <f t="shared" si="2"/>
        <v>0</v>
      </c>
      <c r="H10" s="3" t="s">
        <v>21</v>
      </c>
    </row>
    <row r="11" ht="15" customHeight="1" spans="1:8">
      <c r="A11" s="11">
        <v>7</v>
      </c>
      <c r="B11" s="5" t="s">
        <v>22</v>
      </c>
      <c r="C11" s="20">
        <f>SUMIF(内部人员成本!B:B,B11,内部人员成本!G:G)</f>
        <v>148933.477011494</v>
      </c>
      <c r="D11" s="20">
        <f>SUMIF(外包成本明细!B:B,B11,外包成本明细!F:F)</f>
        <v>0</v>
      </c>
      <c r="E11" s="16">
        <f t="shared" si="0"/>
        <v>148933.477011494</v>
      </c>
      <c r="F11" s="25">
        <f t="shared" si="1"/>
        <v>1</v>
      </c>
      <c r="G11" s="25">
        <f t="shared" si="2"/>
        <v>0</v>
      </c>
      <c r="H11" s="3" t="s">
        <v>23</v>
      </c>
    </row>
    <row r="12" ht="15" customHeight="1" spans="1:8">
      <c r="A12" s="11">
        <v>8</v>
      </c>
      <c r="B12" s="5" t="s">
        <v>24</v>
      </c>
      <c r="C12" s="20">
        <f>SUMIF(内部人员成本!B:B,B12,内部人员成本!G:G)</f>
        <v>36171.0344827586</v>
      </c>
      <c r="D12" s="20">
        <f>SUMIF(外包成本明细!B:B,B12,外包成本明细!F:F)</f>
        <v>2400</v>
      </c>
      <c r="E12" s="16">
        <f t="shared" si="0"/>
        <v>38571.0344827586</v>
      </c>
      <c r="F12" s="25">
        <f t="shared" si="1"/>
        <v>0.937777142039765</v>
      </c>
      <c r="G12" s="25">
        <f t="shared" si="2"/>
        <v>0.0622228579602346</v>
      </c>
      <c r="H12" s="3" t="s">
        <v>25</v>
      </c>
    </row>
    <row r="13" ht="15" customHeight="1" spans="1:8">
      <c r="A13" s="11">
        <v>9</v>
      </c>
      <c r="B13" s="5" t="s">
        <v>26</v>
      </c>
      <c r="C13" s="20">
        <f>SUMIF(内部人员成本!B:B,B13,内部人员成本!G:G)</f>
        <v>61082.2708965517</v>
      </c>
      <c r="D13" s="20">
        <f>SUMIF(外包成本明细!B:B,B13,外包成本明细!F:F)</f>
        <v>0</v>
      </c>
      <c r="E13" s="16">
        <f t="shared" si="0"/>
        <v>61082.2708965517</v>
      </c>
      <c r="F13" s="25">
        <f t="shared" si="1"/>
        <v>1</v>
      </c>
      <c r="G13" s="25">
        <f t="shared" si="2"/>
        <v>0</v>
      </c>
      <c r="H13" s="3" t="s">
        <v>27</v>
      </c>
    </row>
    <row r="14" ht="15" customHeight="1" spans="1:8">
      <c r="A14" s="17"/>
      <c r="B14" s="10" t="s">
        <v>28</v>
      </c>
      <c r="C14" s="19">
        <f>SUM(C5:C13)</f>
        <v>763321.567229885</v>
      </c>
      <c r="D14" s="19">
        <f>SUM(D5:D13)</f>
        <v>46500</v>
      </c>
      <c r="E14" s="19">
        <f>SUM(E5:E13)</f>
        <v>809821.567229885</v>
      </c>
      <c r="F14" s="26">
        <f t="shared" si="1"/>
        <v>0.942579943679371</v>
      </c>
      <c r="G14" s="26">
        <f t="shared" si="2"/>
        <v>0.057420056320629</v>
      </c>
      <c r="H14" s="17"/>
    </row>
    <row r="17" ht="15" customHeight="1" spans="1:8">
      <c r="A17" s="4" t="s">
        <v>29</v>
      </c>
      <c r="B17" s="2"/>
      <c r="C17" s="2"/>
      <c r="D17" s="2"/>
      <c r="E17" s="2"/>
      <c r="F17" s="2"/>
      <c r="G17" s="2"/>
      <c r="H17" s="2"/>
    </row>
    <row r="18" ht="15" customHeight="1" spans="1:8">
      <c r="B18" s="5" t="s">
        <v>30</v>
      </c>
      <c r="C18" s="21">
        <f>C14/E14</f>
        <v>0.942579943679371</v>
      </c>
      <c r="D18" s="13"/>
      <c r="E18" s="13"/>
      <c r="F18" s="13"/>
      <c r="G18" s="13"/>
      <c r="H18" s="14"/>
    </row>
    <row r="19" ht="15" customHeight="1" spans="1:8">
      <c r="B19" s="5" t="s">
        <v>31</v>
      </c>
      <c r="C19" s="21">
        <f>D14/E14</f>
        <v>0.057420056320629</v>
      </c>
      <c r="D19" s="13"/>
      <c r="E19" s="13"/>
      <c r="F19" s="13"/>
      <c r="G19" s="13"/>
      <c r="H19" s="14"/>
    </row>
    <row r="20" ht="15" customHeight="1" spans="1:8">
      <c r="B20" s="5" t="s">
        <v>32</v>
      </c>
      <c r="C20" s="20">
        <f>IFERROR(C14/SUM(内部人员成本!F:F),0)</f>
        <v>214.64045779013</v>
      </c>
      <c r="D20" s="13"/>
      <c r="E20" s="13"/>
      <c r="F20" s="13"/>
      <c r="G20" s="13"/>
      <c r="H20" s="14"/>
    </row>
    <row r="21" ht="15" customHeight="1" spans="1:8">
      <c r="B21" s="5" t="s">
        <v>33</v>
      </c>
      <c r="C21" s="20">
        <f>IFERROR(D14/SUM(外包成本明细!E:E),0)</f>
        <v>180.232558139535</v>
      </c>
      <c r="D21" s="13"/>
      <c r="E21" s="13"/>
      <c r="F21" s="13"/>
      <c r="G21" s="13"/>
      <c r="H21" s="14"/>
    </row>
  </sheetData>
  <mergeCells count="7">
    <mergeCell ref="A1:H1"/>
    <mergeCell ref="A2:H2"/>
    <mergeCell ref="A17:H17"/>
    <mergeCell ref="C18:H18"/>
    <mergeCell ref="C19:H19"/>
    <mergeCell ref="C20:H20"/>
    <mergeCell ref="C21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8"/>
  <sheetViews>
    <sheetView workbookViewId="0">
      <selection activeCell="I10" sqref="I10"/>
    </sheetView>
  </sheetViews>
  <sheetFormatPr defaultColWidth="14" defaultRowHeight="13.2" outlineLevelCol="7"/>
  <cols>
    <col min="1" max="1" width="7" customWidth="1"/>
    <col min="2" max="2" width="15" customWidth="1"/>
    <col min="3" max="3" width="11" customWidth="1"/>
    <col min="4" max="5" width="15" customWidth="1"/>
    <col min="6" max="6" width="13" customWidth="1"/>
    <col min="7" max="7" width="19" customWidth="1"/>
    <col min="8" max="8" width="25" customWidth="1"/>
  </cols>
  <sheetData>
    <row r="1" ht="15" customHeight="1" spans="1:8">
      <c r="A1" s="1" t="s">
        <v>34</v>
      </c>
      <c r="B1" s="2"/>
      <c r="C1" s="2"/>
      <c r="D1" s="2"/>
      <c r="E1" s="2"/>
      <c r="F1" s="2"/>
      <c r="G1" s="2"/>
    </row>
    <row r="2" ht="15" customHeight="1" spans="1:8">
      <c r="A2" s="3" t="s">
        <v>35</v>
      </c>
      <c r="B2" s="2"/>
      <c r="C2" s="2"/>
      <c r="D2" s="2"/>
      <c r="E2" s="2"/>
      <c r="F2" s="2"/>
      <c r="G2" s="2"/>
    </row>
    <row r="4" ht="15" customHeight="1" spans="1:8">
      <c r="A4" s="4" t="s">
        <v>2</v>
      </c>
      <c r="B4" s="4" t="s">
        <v>3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9</v>
      </c>
    </row>
    <row r="5" ht="15" customHeight="1" spans="1:8">
      <c r="A5" s="11">
        <v>1</v>
      </c>
      <c r="B5" s="5" t="s">
        <v>10</v>
      </c>
      <c r="C5" s="11" t="s">
        <v>41</v>
      </c>
      <c r="D5" s="15">
        <v>13347.22</v>
      </c>
      <c r="E5" s="16">
        <v>613.67</v>
      </c>
      <c r="F5" s="8">
        <v>242.9</v>
      </c>
      <c r="G5" s="16">
        <f t="shared" ref="G5:G12" si="0">E5*F5</f>
        <v>149060.443</v>
      </c>
      <c r="H5" s="3" t="s">
        <v>42</v>
      </c>
    </row>
    <row r="6" ht="15" customHeight="1" spans="1:8">
      <c r="A6" s="11">
        <v>2</v>
      </c>
      <c r="B6" s="5" t="s">
        <v>10</v>
      </c>
      <c r="C6" s="11" t="s">
        <v>43</v>
      </c>
      <c r="D6" s="15">
        <v>3000</v>
      </c>
      <c r="E6" s="16">
        <f>D6/参数设置!$C$7</f>
        <v>137.931034482759</v>
      </c>
      <c r="F6" s="8">
        <v>4.9</v>
      </c>
      <c r="G6" s="16">
        <f t="shared" si="0"/>
        <v>675.862068965517</v>
      </c>
      <c r="H6" s="3" t="s">
        <v>44</v>
      </c>
    </row>
    <row r="7" ht="15" customHeight="1" spans="1:8">
      <c r="A7" s="11">
        <v>3</v>
      </c>
      <c r="B7" s="5" t="s">
        <v>14</v>
      </c>
      <c r="C7" s="11" t="s">
        <v>43</v>
      </c>
      <c r="D7" s="15">
        <v>4750</v>
      </c>
      <c r="E7" s="16">
        <f>D7/参数设置!$C$7</f>
        <v>218.390804597701</v>
      </c>
      <c r="F7" s="8">
        <v>136</v>
      </c>
      <c r="G7" s="16">
        <f t="shared" si="0"/>
        <v>29701.1494252874</v>
      </c>
      <c r="H7" s="3" t="s">
        <v>45</v>
      </c>
    </row>
    <row r="8" ht="15" customHeight="1" spans="1:8">
      <c r="A8" s="11"/>
      <c r="B8" s="5" t="s">
        <v>14</v>
      </c>
      <c r="C8" s="11" t="s">
        <v>41</v>
      </c>
      <c r="D8" s="15">
        <v>11597.22</v>
      </c>
      <c r="E8" s="16">
        <f>D8/参数设置!$C$7</f>
        <v>533.205517241379</v>
      </c>
      <c r="F8" s="8">
        <v>216</v>
      </c>
      <c r="G8" s="16">
        <f t="shared" si="0"/>
        <v>115172.391724138</v>
      </c>
      <c r="H8" s="3" t="s">
        <v>42</v>
      </c>
    </row>
    <row r="9" ht="15" customHeight="1" spans="1:8">
      <c r="A9" s="11">
        <v>4</v>
      </c>
      <c r="B9" s="5" t="s">
        <v>16</v>
      </c>
      <c r="C9" s="11" t="s">
        <v>41</v>
      </c>
      <c r="D9" s="15">
        <v>15500</v>
      </c>
      <c r="E9" s="16">
        <f>D9/参数设置!$C$7</f>
        <v>712.64367816092</v>
      </c>
      <c r="F9" s="8">
        <v>44</v>
      </c>
      <c r="G9" s="16">
        <f t="shared" si="0"/>
        <v>31356.3218390805</v>
      </c>
      <c r="H9" s="3" t="s">
        <v>46</v>
      </c>
    </row>
    <row r="10" ht="15" customHeight="1" spans="1:8">
      <c r="A10" s="11"/>
      <c r="B10" s="5" t="s">
        <v>16</v>
      </c>
      <c r="C10" s="11" t="s">
        <v>43</v>
      </c>
      <c r="D10" s="15">
        <v>5486.11</v>
      </c>
      <c r="E10" s="16">
        <f>D10/参数设置!$C$7</f>
        <v>252.234942528736</v>
      </c>
      <c r="F10" s="8">
        <v>221.5</v>
      </c>
      <c r="G10" s="16">
        <f t="shared" si="0"/>
        <v>55870.0397701149</v>
      </c>
      <c r="H10" s="3" t="s">
        <v>42</v>
      </c>
    </row>
    <row r="11" ht="15" customHeight="1" spans="1:8">
      <c r="A11" s="11">
        <v>5</v>
      </c>
      <c r="B11" s="5" t="s">
        <v>18</v>
      </c>
      <c r="C11" s="11" t="s">
        <v>43</v>
      </c>
      <c r="D11" s="15">
        <v>0</v>
      </c>
      <c r="E11" s="16">
        <f>D11/参数设置!$C$7</f>
        <v>0</v>
      </c>
      <c r="F11" s="8">
        <v>0</v>
      </c>
      <c r="G11" s="16">
        <f t="shared" si="0"/>
        <v>0</v>
      </c>
      <c r="H11" s="3">
        <v>0</v>
      </c>
    </row>
    <row r="12" ht="15" customHeight="1" spans="1:8">
      <c r="A12" s="11"/>
      <c r="B12" s="5" t="s">
        <v>18</v>
      </c>
      <c r="C12" s="11" t="s">
        <v>41</v>
      </c>
      <c r="D12" s="15">
        <v>15334.45</v>
      </c>
      <c r="E12" s="16">
        <f>D12/参数设置!$C$7</f>
        <v>705.032183908046</v>
      </c>
      <c r="F12" s="8">
        <v>129</v>
      </c>
      <c r="G12" s="16">
        <f t="shared" si="0"/>
        <v>90949.1517241379</v>
      </c>
      <c r="H12" s="3" t="s">
        <v>46</v>
      </c>
    </row>
    <row r="13" ht="15" customHeight="1" spans="1:8">
      <c r="A13" s="11">
        <v>6</v>
      </c>
      <c r="B13" s="5" t="s">
        <v>20</v>
      </c>
      <c r="C13" s="11" t="s">
        <v>41</v>
      </c>
      <c r="D13" s="15">
        <v>15000</v>
      </c>
      <c r="E13" s="16">
        <f>D13/参数设置!$C$7</f>
        <v>689.655172413793</v>
      </c>
      <c r="F13" s="8">
        <v>17</v>
      </c>
      <c r="G13" s="16">
        <f t="shared" ref="G13:G19" si="1">E13*F13</f>
        <v>11724.1379310345</v>
      </c>
      <c r="H13" s="3" t="s">
        <v>47</v>
      </c>
    </row>
    <row r="14" ht="15" customHeight="1" spans="1:8">
      <c r="A14" s="11">
        <v>7</v>
      </c>
      <c r="B14" s="5" t="s">
        <v>22</v>
      </c>
      <c r="C14" s="11" t="s">
        <v>41</v>
      </c>
      <c r="D14" s="15">
        <v>14375</v>
      </c>
      <c r="E14" s="16">
        <f>D14/参数设置!$C$7</f>
        <v>660.919540229885</v>
      </c>
      <c r="F14" s="8">
        <v>129.55</v>
      </c>
      <c r="G14" s="16">
        <f t="shared" si="1"/>
        <v>85622.1264367816</v>
      </c>
      <c r="H14" s="3">
        <v>4</v>
      </c>
    </row>
    <row r="15" ht="15" customHeight="1" spans="1:8">
      <c r="A15" s="11">
        <v>8</v>
      </c>
      <c r="B15" s="5" t="s">
        <v>22</v>
      </c>
      <c r="C15" s="11" t="s">
        <v>43</v>
      </c>
      <c r="D15" s="15">
        <v>5187.5</v>
      </c>
      <c r="E15" s="16">
        <f>D15/参数设置!$C$7</f>
        <v>238.505747126437</v>
      </c>
      <c r="F15" s="8">
        <v>265.45</v>
      </c>
      <c r="G15" s="16">
        <f t="shared" si="1"/>
        <v>63311.3505747126</v>
      </c>
      <c r="H15" s="3" t="s">
        <v>44</v>
      </c>
    </row>
    <row r="16" ht="15" customHeight="1" spans="1:8">
      <c r="A16" s="11">
        <v>9</v>
      </c>
      <c r="B16" s="5" t="s">
        <v>24</v>
      </c>
      <c r="C16" s="11" t="s">
        <v>41</v>
      </c>
      <c r="D16" s="15">
        <v>8000</v>
      </c>
      <c r="E16" s="16">
        <f>D16/参数设置!$C$7</f>
        <v>367.816091954023</v>
      </c>
      <c r="F16" s="8">
        <v>98.34</v>
      </c>
      <c r="G16" s="16">
        <f t="shared" si="1"/>
        <v>36171.0344827586</v>
      </c>
      <c r="H16" s="3" t="s">
        <v>44</v>
      </c>
    </row>
    <row r="17" ht="15" customHeight="1" spans="1:8">
      <c r="A17" s="11">
        <v>10</v>
      </c>
      <c r="B17" s="5" t="s">
        <v>26</v>
      </c>
      <c r="C17" s="11" t="s">
        <v>43</v>
      </c>
      <c r="D17" s="15">
        <v>4471.88</v>
      </c>
      <c r="E17" s="16">
        <f>D17/参数设置!$C$7</f>
        <v>205.60367816092</v>
      </c>
      <c r="F17" s="8">
        <v>128.4</v>
      </c>
      <c r="G17" s="16">
        <f t="shared" si="1"/>
        <v>26399.5122758621</v>
      </c>
      <c r="H17" s="3" t="s">
        <v>48</v>
      </c>
    </row>
    <row r="18" ht="15" customHeight="1" spans="1:8">
      <c r="A18" s="11"/>
      <c r="B18" s="5" t="s">
        <v>26</v>
      </c>
      <c r="C18" s="11" t="s">
        <v>41</v>
      </c>
      <c r="D18" s="15">
        <v>13375</v>
      </c>
      <c r="E18" s="16">
        <f>D18/参数设置!$C$7</f>
        <v>614.942528735632</v>
      </c>
      <c r="F18" s="8">
        <v>56.4</v>
      </c>
      <c r="G18" s="16">
        <f t="shared" si="1"/>
        <v>34682.7586206897</v>
      </c>
      <c r="H18" s="3" t="s">
        <v>49</v>
      </c>
    </row>
    <row r="19" ht="15" customHeight="1" spans="1:8">
      <c r="A19" s="11">
        <v>11</v>
      </c>
      <c r="B19" s="5" t="s">
        <v>12</v>
      </c>
      <c r="C19" s="11" t="s">
        <v>43</v>
      </c>
      <c r="D19" s="15">
        <v>8000</v>
      </c>
      <c r="E19" s="16">
        <f>D19/参数设置!$C$7</f>
        <v>367.816091954023</v>
      </c>
      <c r="F19" s="8">
        <v>88.7</v>
      </c>
      <c r="G19" s="16">
        <f t="shared" si="1"/>
        <v>32625.2873563218</v>
      </c>
      <c r="H19" s="3" t="s">
        <v>50</v>
      </c>
    </row>
    <row r="20" ht="15" customHeight="1" spans="1:8">
      <c r="A20" s="17"/>
      <c r="B20" s="10" t="s">
        <v>28</v>
      </c>
      <c r="C20" s="17"/>
      <c r="D20" s="17"/>
      <c r="E20" s="17"/>
      <c r="F20" s="18">
        <f>SUM(F5:F19)</f>
        <v>1778.14</v>
      </c>
      <c r="G20" s="19">
        <f>SUM(G5:G19)</f>
        <v>763321.567229885</v>
      </c>
      <c r="H20" s="17"/>
    </row>
    <row r="22" ht="15" customHeight="1" spans="1:8">
      <c r="A22" s="4" t="s">
        <v>51</v>
      </c>
      <c r="B22" s="2"/>
      <c r="C22" s="2"/>
      <c r="D22" s="2"/>
      <c r="E22" s="2"/>
      <c r="F22" s="2"/>
      <c r="G22" s="2"/>
      <c r="H22" s="2"/>
    </row>
    <row r="23" ht="15" customHeight="1" spans="1:8">
      <c r="B23" s="5" t="s">
        <v>52</v>
      </c>
      <c r="G23" s="20">
        <f>G20</f>
        <v>763321.567229885</v>
      </c>
      <c r="H23" s="14"/>
    </row>
    <row r="24" ht="15" customHeight="1" spans="1:8">
      <c r="B24" s="5" t="s">
        <v>53</v>
      </c>
      <c r="G24" s="21">
        <f>参数设置!$C$8</f>
        <v>0.25</v>
      </c>
      <c r="H24" s="14"/>
    </row>
    <row r="25" ht="15" customHeight="1" spans="1:8">
      <c r="B25" s="5" t="s">
        <v>54</v>
      </c>
      <c r="G25" s="20">
        <f>G20*参数设置!$C$8</f>
        <v>190830.391807471</v>
      </c>
      <c r="H25" s="14"/>
    </row>
    <row r="26" ht="15" customHeight="1" spans="1:8">
      <c r="B26" s="5" t="s">
        <v>55</v>
      </c>
      <c r="G26" s="21">
        <f>参数设置!$C$9</f>
        <v>0.15</v>
      </c>
      <c r="H26" s="14"/>
    </row>
    <row r="27" ht="15" customHeight="1" spans="1:8">
      <c r="B27" s="5" t="s">
        <v>56</v>
      </c>
      <c r="G27" s="20">
        <f>G20*参数设置!$C$9</f>
        <v>114498.235084483</v>
      </c>
      <c r="H27" s="14"/>
    </row>
    <row r="28" ht="15" customHeight="1" spans="1:8">
      <c r="B28" s="22" t="s">
        <v>57</v>
      </c>
      <c r="G28" s="23">
        <f>G20*(1+参数设置!$C$8+参数设置!$C$9)</f>
        <v>1068650.19412184</v>
      </c>
      <c r="H28" s="14"/>
    </row>
  </sheetData>
  <mergeCells count="15">
    <mergeCell ref="A1:G1"/>
    <mergeCell ref="A2:G2"/>
    <mergeCell ref="A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8:F28"/>
    <mergeCell ref="G28:H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0"/>
  <sheetViews>
    <sheetView workbookViewId="0">
      <selection activeCell="B25" sqref="B25"/>
    </sheetView>
  </sheetViews>
  <sheetFormatPr defaultColWidth="14" defaultRowHeight="13.2" outlineLevelCol="6"/>
  <cols>
    <col min="1" max="1" width="7" customWidth="1"/>
    <col min="2" max="2" width="15" customWidth="1"/>
    <col min="3" max="3" width="11" customWidth="1"/>
    <col min="4" max="4" width="19" customWidth="1"/>
    <col min="5" max="5" width="13" customWidth="1"/>
    <col min="6" max="6" width="19" customWidth="1"/>
    <col min="7" max="7" width="31" customWidth="1"/>
  </cols>
  <sheetData>
    <row r="1" ht="15" customHeight="1" spans="1:7">
      <c r="A1" s="1" t="s">
        <v>58</v>
      </c>
      <c r="B1" s="2"/>
      <c r="C1" s="2"/>
      <c r="D1" s="2"/>
      <c r="E1" s="2"/>
      <c r="F1" s="2"/>
      <c r="G1" s="2"/>
    </row>
    <row r="2" ht="15" customHeight="1" spans="1:7">
      <c r="A2" s="3" t="s">
        <v>35</v>
      </c>
      <c r="B2" s="2"/>
      <c r="C2" s="2"/>
      <c r="D2" s="2"/>
      <c r="E2" s="2"/>
      <c r="F2" s="2"/>
      <c r="G2" s="2"/>
    </row>
    <row r="4" ht="15" customHeight="1" spans="1:7">
      <c r="A4" s="4" t="s">
        <v>2</v>
      </c>
      <c r="B4" s="4" t="s">
        <v>3</v>
      </c>
      <c r="C4" s="4" t="s">
        <v>36</v>
      </c>
      <c r="D4" s="4" t="s">
        <v>59</v>
      </c>
      <c r="E4" s="4" t="s">
        <v>39</v>
      </c>
      <c r="F4" s="4" t="s">
        <v>60</v>
      </c>
      <c r="G4" s="4" t="s">
        <v>61</v>
      </c>
    </row>
    <row r="5" ht="15" customHeight="1" spans="1:7">
      <c r="A5" s="11">
        <v>1</v>
      </c>
      <c r="B5" s="5" t="s">
        <v>10</v>
      </c>
      <c r="C5" s="11" t="s">
        <v>43</v>
      </c>
      <c r="D5" s="15">
        <v>1600</v>
      </c>
      <c r="E5" s="8">
        <v>6</v>
      </c>
      <c r="F5" s="16">
        <f t="shared" ref="F5:F13" si="0">D5*E5</f>
        <v>9600</v>
      </c>
      <c r="G5" s="3" t="s">
        <v>62</v>
      </c>
    </row>
    <row r="6" ht="15" customHeight="1" spans="1:7">
      <c r="A6" s="11">
        <v>2</v>
      </c>
      <c r="B6" s="5" t="s">
        <v>12</v>
      </c>
      <c r="C6" s="11" t="s">
        <v>13</v>
      </c>
      <c r="D6" s="15">
        <v>0</v>
      </c>
      <c r="E6" s="8">
        <v>0</v>
      </c>
      <c r="F6" s="16">
        <f t="shared" si="0"/>
        <v>0</v>
      </c>
      <c r="G6" s="3" t="s">
        <v>63</v>
      </c>
    </row>
    <row r="7" ht="15" customHeight="1" spans="1:7">
      <c r="A7" s="11">
        <v>3</v>
      </c>
      <c r="B7" s="5" t="s">
        <v>14</v>
      </c>
      <c r="C7" s="11" t="s">
        <v>43</v>
      </c>
      <c r="D7" s="15">
        <v>300</v>
      </c>
      <c r="E7" s="8">
        <v>82</v>
      </c>
      <c r="F7" s="16">
        <f t="shared" si="0"/>
        <v>24600</v>
      </c>
      <c r="G7" s="3"/>
    </row>
    <row r="8" ht="15" customHeight="1" spans="1:7">
      <c r="A8" s="11">
        <v>4</v>
      </c>
      <c r="B8" s="5" t="s">
        <v>16</v>
      </c>
      <c r="C8" s="11" t="s">
        <v>43</v>
      </c>
      <c r="D8" s="15">
        <v>300</v>
      </c>
      <c r="E8" s="8">
        <v>33</v>
      </c>
      <c r="F8" s="16">
        <f t="shared" si="0"/>
        <v>9900</v>
      </c>
      <c r="G8" s="3" t="s">
        <v>64</v>
      </c>
    </row>
    <row r="9" ht="15" customHeight="1" spans="1:7">
      <c r="A9" s="11">
        <v>5</v>
      </c>
      <c r="B9" s="5" t="s">
        <v>18</v>
      </c>
      <c r="C9" s="11" t="s">
        <v>43</v>
      </c>
      <c r="D9" s="15">
        <v>0</v>
      </c>
      <c r="E9" s="8">
        <v>0</v>
      </c>
      <c r="F9" s="16">
        <f t="shared" si="0"/>
        <v>0</v>
      </c>
      <c r="G9" s="3" t="s">
        <v>64</v>
      </c>
    </row>
    <row r="10" ht="15" customHeight="1" spans="1:7">
      <c r="A10" s="11">
        <v>6</v>
      </c>
      <c r="B10" s="5" t="s">
        <v>22</v>
      </c>
      <c r="C10" s="11" t="s">
        <v>41</v>
      </c>
      <c r="D10" s="15">
        <v>0</v>
      </c>
      <c r="E10" s="8">
        <v>0</v>
      </c>
      <c r="F10" s="16">
        <f t="shared" si="0"/>
        <v>0</v>
      </c>
      <c r="G10" s="3" t="s">
        <v>65</v>
      </c>
    </row>
    <row r="11" ht="15" customHeight="1" spans="1:7">
      <c r="A11" s="11">
        <v>7</v>
      </c>
      <c r="B11" s="5" t="s">
        <v>22</v>
      </c>
      <c r="C11" s="11" t="s">
        <v>43</v>
      </c>
      <c r="D11" s="15">
        <v>0</v>
      </c>
      <c r="E11" s="8">
        <v>0</v>
      </c>
      <c r="F11" s="16">
        <f t="shared" si="0"/>
        <v>0</v>
      </c>
      <c r="G11" s="3" t="s">
        <v>64</v>
      </c>
    </row>
    <row r="12" ht="15" customHeight="1" spans="1:7">
      <c r="A12" s="11">
        <v>8</v>
      </c>
      <c r="B12" s="5" t="s">
        <v>24</v>
      </c>
      <c r="C12" s="11" t="s">
        <v>43</v>
      </c>
      <c r="D12" s="15">
        <v>300</v>
      </c>
      <c r="E12" s="8">
        <v>8</v>
      </c>
      <c r="F12" s="16">
        <f t="shared" si="0"/>
        <v>2400</v>
      </c>
      <c r="G12" s="3" t="s">
        <v>64</v>
      </c>
    </row>
    <row r="13" ht="15" customHeight="1" spans="1:7">
      <c r="A13" s="11">
        <v>9</v>
      </c>
      <c r="B13" s="5" t="s">
        <v>26</v>
      </c>
      <c r="C13" s="11" t="s">
        <v>43</v>
      </c>
      <c r="D13" s="15">
        <v>0</v>
      </c>
      <c r="E13" s="8">
        <v>0</v>
      </c>
      <c r="F13" s="16">
        <f t="shared" si="0"/>
        <v>0</v>
      </c>
      <c r="G13" s="3" t="s">
        <v>66</v>
      </c>
    </row>
    <row r="14" ht="15" customHeight="1" spans="1:7">
      <c r="A14" s="17"/>
      <c r="B14" s="10" t="s">
        <v>28</v>
      </c>
      <c r="C14" s="17"/>
      <c r="D14" s="17"/>
      <c r="E14" s="18">
        <f>SUM(E5:E13)</f>
        <v>129</v>
      </c>
      <c r="F14" s="19">
        <f>SUM(F5:F13)</f>
        <v>46500</v>
      </c>
      <c r="G14" s="17"/>
    </row>
    <row r="16" ht="15" customHeight="1" spans="1:7">
      <c r="A16" s="4" t="s">
        <v>67</v>
      </c>
      <c r="B16" s="2"/>
      <c r="C16" s="2"/>
      <c r="D16" s="2"/>
      <c r="E16" s="2"/>
      <c r="F16" s="2"/>
      <c r="G16" s="2"/>
    </row>
    <row r="17" ht="15" customHeight="1" spans="2:7">
      <c r="B17" s="5" t="s">
        <v>68</v>
      </c>
      <c r="F17" s="20">
        <f>F14</f>
        <v>46500</v>
      </c>
      <c r="G17" s="14"/>
    </row>
    <row r="18" ht="15" customHeight="1" spans="2:7">
      <c r="B18" s="5" t="s">
        <v>69</v>
      </c>
      <c r="F18" s="21">
        <f>参数设置!$C$10</f>
        <v>0.05</v>
      </c>
      <c r="G18" s="14"/>
    </row>
    <row r="19" ht="15" customHeight="1" spans="2:7">
      <c r="B19" s="5" t="s">
        <v>67</v>
      </c>
      <c r="F19" s="20">
        <f>F14*参数设置!$C$10</f>
        <v>2325</v>
      </c>
      <c r="G19" s="14"/>
    </row>
    <row r="20" ht="15" customHeight="1" spans="2:7">
      <c r="B20" s="22" t="s">
        <v>70</v>
      </c>
      <c r="F20" s="23">
        <f>F14*(1+参数设置!$C$10)</f>
        <v>48825</v>
      </c>
      <c r="G20" s="14"/>
    </row>
  </sheetData>
  <mergeCells count="11">
    <mergeCell ref="A1:G1"/>
    <mergeCell ref="A2:G2"/>
    <mergeCell ref="A16:G16"/>
    <mergeCell ref="C17:E17"/>
    <mergeCell ref="F17:G17"/>
    <mergeCell ref="C18:E18"/>
    <mergeCell ref="F18:G18"/>
    <mergeCell ref="C19:E19"/>
    <mergeCell ref="F19:G19"/>
    <mergeCell ref="C20:E20"/>
    <mergeCell ref="F20:G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workbookViewId="0">
      <selection activeCell="H6" sqref="H6"/>
    </sheetView>
  </sheetViews>
  <sheetFormatPr defaultColWidth="14" defaultRowHeight="13.2" outlineLevelCol="3"/>
  <cols>
    <col min="1" max="1" width="15" customWidth="1"/>
    <col min="2" max="3" width="21" customWidth="1"/>
    <col min="4" max="4" width="35" customWidth="1"/>
  </cols>
  <sheetData>
    <row r="1" ht="15" customHeight="1" spans="1:4">
      <c r="A1" s="1" t="s">
        <v>71</v>
      </c>
      <c r="B1" s="2"/>
      <c r="C1" s="2"/>
      <c r="D1" s="2"/>
    </row>
    <row r="2" ht="15" customHeight="1" spans="1:4">
      <c r="A2" s="3" t="s">
        <v>72</v>
      </c>
      <c r="B2" s="2"/>
      <c r="C2" s="2"/>
      <c r="D2" s="2"/>
    </row>
    <row r="4" ht="15" customHeight="1" spans="1:4">
      <c r="A4" s="4" t="s">
        <v>73</v>
      </c>
      <c r="B4" s="2"/>
      <c r="C4" s="2"/>
      <c r="D4" s="2"/>
    </row>
    <row r="5" ht="15" customHeight="1" spans="1:4">
      <c r="B5" s="5" t="s">
        <v>74</v>
      </c>
      <c r="C5" s="6" t="s">
        <v>75</v>
      </c>
      <c r="D5" s="3" t="s">
        <v>76</v>
      </c>
    </row>
    <row r="6" ht="15" customHeight="1" spans="1:4">
      <c r="B6" s="5" t="s">
        <v>77</v>
      </c>
      <c r="C6" s="7">
        <f ca="1">TODAY()</f>
        <v>46210</v>
      </c>
      <c r="D6" s="3" t="s">
        <v>78</v>
      </c>
    </row>
    <row r="7" ht="15" customHeight="1" spans="1:4">
      <c r="B7" s="5" t="s">
        <v>79</v>
      </c>
      <c r="C7" s="8">
        <v>21.75</v>
      </c>
      <c r="D7" s="3" t="s">
        <v>80</v>
      </c>
    </row>
    <row r="8" ht="15" customHeight="1" spans="1:4">
      <c r="B8" s="5" t="s">
        <v>53</v>
      </c>
      <c r="C8" s="9">
        <v>0.25</v>
      </c>
      <c r="D8" s="3" t="s">
        <v>81</v>
      </c>
    </row>
    <row r="9" ht="15" customHeight="1" spans="1:4">
      <c r="B9" s="5" t="s">
        <v>55</v>
      </c>
      <c r="C9" s="9">
        <v>0.15</v>
      </c>
      <c r="D9" s="3" t="s">
        <v>82</v>
      </c>
    </row>
    <row r="10" ht="15" customHeight="1" spans="1:4">
      <c r="B10" s="5" t="s">
        <v>69</v>
      </c>
      <c r="C10" s="9">
        <v>0.05</v>
      </c>
      <c r="D10" s="3" t="s">
        <v>83</v>
      </c>
    </row>
    <row r="13" ht="15" customHeight="1" spans="1:4">
      <c r="A13" s="4" t="s">
        <v>84</v>
      </c>
      <c r="B13" s="2"/>
      <c r="C13" s="2"/>
      <c r="D13" s="2"/>
    </row>
    <row r="14" ht="15" customHeight="1" spans="1:4">
      <c r="A14" s="10" t="s">
        <v>36</v>
      </c>
      <c r="B14" s="10" t="s">
        <v>85</v>
      </c>
      <c r="C14" s="10" t="s">
        <v>86</v>
      </c>
      <c r="D14" s="10" t="s">
        <v>87</v>
      </c>
    </row>
    <row r="15" ht="15" customHeight="1" spans="1:4">
      <c r="A15" s="11" t="s">
        <v>88</v>
      </c>
      <c r="B15" s="12" t="s">
        <v>89</v>
      </c>
      <c r="C15" s="12" t="s">
        <v>90</v>
      </c>
      <c r="D15" s="3" t="s">
        <v>91</v>
      </c>
    </row>
    <row r="16" ht="15" customHeight="1" spans="1:4">
      <c r="A16" s="11" t="s">
        <v>41</v>
      </c>
      <c r="B16" s="12" t="s">
        <v>92</v>
      </c>
      <c r="C16" s="12" t="s">
        <v>93</v>
      </c>
      <c r="D16" s="3" t="s">
        <v>94</v>
      </c>
    </row>
    <row r="17" ht="15" customHeight="1" spans="1:4">
      <c r="A17" s="11" t="s">
        <v>43</v>
      </c>
      <c r="B17" s="12" t="s">
        <v>95</v>
      </c>
      <c r="C17" s="12" t="s">
        <v>96</v>
      </c>
      <c r="D17" s="3" t="s">
        <v>97</v>
      </c>
    </row>
    <row r="18" ht="15" customHeight="1" spans="1:4">
      <c r="A18" s="11" t="s">
        <v>98</v>
      </c>
      <c r="B18" s="12" t="s">
        <v>99</v>
      </c>
      <c r="C18" s="12" t="s">
        <v>100</v>
      </c>
      <c r="D18" s="3" t="s">
        <v>101</v>
      </c>
    </row>
    <row r="20" ht="15" customHeight="1" spans="1:4">
      <c r="A20" s="4" t="s">
        <v>102</v>
      </c>
      <c r="B20" s="2"/>
      <c r="C20" s="2"/>
      <c r="D20" s="2"/>
    </row>
    <row r="21" ht="15" customHeight="1" spans="1:4">
      <c r="A21" s="3" t="s">
        <v>103</v>
      </c>
      <c r="B21" s="13"/>
      <c r="C21" s="13"/>
      <c r="D21" s="14"/>
    </row>
    <row r="22" ht="15" customHeight="1" spans="1:4">
      <c r="A22" s="3" t="s">
        <v>104</v>
      </c>
      <c r="B22" s="13"/>
      <c r="C22" s="13"/>
      <c r="D22" s="14"/>
    </row>
    <row r="23" ht="15" customHeight="1" spans="1:4">
      <c r="A23" s="3" t="s">
        <v>105</v>
      </c>
      <c r="B23" s="13"/>
      <c r="C23" s="13"/>
      <c r="D23" s="14"/>
    </row>
    <row r="24" ht="15" customHeight="1" spans="1:4">
      <c r="A24" s="3" t="s">
        <v>106</v>
      </c>
      <c r="B24" s="13"/>
      <c r="C24" s="13"/>
      <c r="D24" s="14"/>
    </row>
    <row r="25" ht="15" customHeight="1" spans="1:4">
      <c r="A25" s="3" t="s">
        <v>107</v>
      </c>
      <c r="B25" s="13"/>
      <c r="C25" s="13"/>
      <c r="D25" s="14"/>
    </row>
    <row r="26" ht="15" customHeight="1" spans="1:4">
      <c r="A26" s="3" t="s">
        <v>108</v>
      </c>
      <c r="B26" s="13"/>
      <c r="C26" s="13"/>
      <c r="D26" s="14"/>
    </row>
  </sheetData>
  <mergeCells count="11">
    <mergeCell ref="A1:D1"/>
    <mergeCell ref="A2:D2"/>
    <mergeCell ref="A4:D4"/>
    <mergeCell ref="A13:D13"/>
    <mergeCell ref="A20:D20"/>
    <mergeCell ref="A21:D21"/>
    <mergeCell ref="A22:D22"/>
    <mergeCell ref="A23:D23"/>
    <mergeCell ref="A24:D24"/>
    <mergeCell ref="A25:D25"/>
    <mergeCell ref="A26:D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项目成本汇总</vt:lpstr>
      <vt:lpstr>内部人员成本</vt:lpstr>
      <vt:lpstr>外包成本明细</vt:lpstr>
      <vt:lpstr>参数设置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2026-07-01T09:33:00Z</dcterms:created>
  <dcterms:modified xsi:type="dcterms:W3CDTF">2026-07-07T08:20:15Z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45EBB3CFEE11409B9CA3F45F72828AE6_13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